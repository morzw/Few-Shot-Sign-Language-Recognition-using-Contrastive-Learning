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fmanO\VSCode projects\slr_26\artifacts\"/>
    </mc:Choice>
  </mc:AlternateContent>
  <xr:revisionPtr revIDLastSave="0" documentId="13_ncr:1_{25AA8FD8-C0CC-4D06-A53B-FACDE6242F78}" xr6:coauthVersionLast="47" xr6:coauthVersionMax="47" xr10:uidLastSave="{00000000-0000-0000-0000-000000000000}"/>
  <bookViews>
    <workbookView xWindow="-120" yWindow="-120" windowWidth="29040" windowHeight="15720" xr2:uid="{7DB49854-11F9-4359-A033-89518EA392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1" l="1"/>
  <c r="N16" i="1"/>
  <c r="O16" i="1"/>
  <c r="P16" i="1"/>
  <c r="Q16" i="1"/>
  <c r="R16" i="1"/>
  <c r="S16" i="1"/>
  <c r="T16" i="1"/>
  <c r="U16" i="1"/>
  <c r="L16" i="1"/>
  <c r="F5" i="1"/>
  <c r="F7" i="1"/>
  <c r="F9" i="1"/>
  <c r="F11" i="1"/>
  <c r="F13" i="1"/>
  <c r="F3" i="1"/>
  <c r="D13" i="1"/>
  <c r="D11" i="1"/>
  <c r="D12" i="1"/>
  <c r="D14" i="1"/>
  <c r="D9" i="1"/>
  <c r="D10" i="1"/>
  <c r="D7" i="1"/>
  <c r="D5" i="1"/>
  <c r="D6" i="1"/>
  <c r="D8" i="1"/>
  <c r="D4" i="1"/>
  <c r="D3" i="1"/>
</calcChain>
</file>

<file path=xl/sharedStrings.xml><?xml version="1.0" encoding="utf-8"?>
<sst xmlns="http://schemas.openxmlformats.org/spreadsheetml/2006/main" count="60" uniqueCount="14">
  <si>
    <t>mean</t>
  </si>
  <si>
    <t>std</t>
  </si>
  <si>
    <t>Ours</t>
  </si>
  <si>
    <t>LSTM</t>
  </si>
  <si>
    <t>Bi-LSTM</t>
  </si>
  <si>
    <t>GRU</t>
  </si>
  <si>
    <t>Competitors</t>
  </si>
  <si>
    <t>Mean + std</t>
  </si>
  <si>
    <t>Accuracy per Fold</t>
  </si>
  <si>
    <t>Accuracy</t>
  </si>
  <si>
    <t>Runtime</t>
  </si>
  <si>
    <t>Few shot</t>
  </si>
  <si>
    <t>Run time</t>
  </si>
  <si>
    <t>Multi-example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</si>
</sst>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4334C-4726-4FF6-ABB8-BBB9F10B4562}">
  <dimension ref="A1:U29"/>
  <sheetViews>
    <sheetView tabSelected="1" workbookViewId="0">
      <selection activeCell="G19" sqref="G19"/>
    </sheetView>
  </sheetViews>
  <sheetFormatPr defaultRowHeight="15" x14ac:dyDescent="0.25"/>
  <cols>
    <col min="1" max="1" width="15.42578125" customWidth="1"/>
    <col min="9" max="9" width="15.7109375" bestFit="1" customWidth="1"/>
    <col min="11" max="11" width="9" bestFit="1" customWidth="1"/>
  </cols>
  <sheetData>
    <row r="1" spans="1:21" x14ac:dyDescent="0.25">
      <c r="A1" t="s">
        <v>13</v>
      </c>
    </row>
    <row r="2" spans="1:21" x14ac:dyDescent="0.25">
      <c r="A2" t="s">
        <v>7</v>
      </c>
      <c r="C2" s="5" t="s">
        <v>9</v>
      </c>
      <c r="D2" s="5"/>
      <c r="E2" s="5" t="s">
        <v>10</v>
      </c>
      <c r="F2" s="5"/>
      <c r="I2" t="s">
        <v>8</v>
      </c>
      <c r="L2">
        <v>1</v>
      </c>
      <c r="M2">
        <v>2</v>
      </c>
      <c r="N2">
        <v>3</v>
      </c>
      <c r="O2">
        <v>4</v>
      </c>
      <c r="P2">
        <v>5</v>
      </c>
      <c r="Q2">
        <v>6</v>
      </c>
      <c r="R2">
        <v>7</v>
      </c>
      <c r="S2">
        <v>8</v>
      </c>
      <c r="T2">
        <v>9</v>
      </c>
      <c r="U2">
        <v>10</v>
      </c>
    </row>
    <row r="3" spans="1:21" x14ac:dyDescent="0.25">
      <c r="A3" s="6" t="s">
        <v>2</v>
      </c>
      <c r="B3" t="s">
        <v>3</v>
      </c>
      <c r="C3" t="s">
        <v>0</v>
      </c>
      <c r="D3" s="3">
        <f>AVERAGE(L3:U3)</f>
        <v>0.9635999999999999</v>
      </c>
      <c r="E3" t="s">
        <v>0</v>
      </c>
      <c r="F3">
        <f>AVERAGE(L4:U4)</f>
        <v>17.400000000000002</v>
      </c>
      <c r="I3" s="6" t="s">
        <v>2</v>
      </c>
      <c r="J3" s="5" t="s">
        <v>3</v>
      </c>
      <c r="K3" s="2" t="s">
        <v>9</v>
      </c>
      <c r="L3">
        <v>0.95699999999999996</v>
      </c>
      <c r="M3">
        <v>0.95699999999999996</v>
      </c>
      <c r="N3">
        <v>0.95699999999999996</v>
      </c>
      <c r="O3">
        <v>0.97299999999999998</v>
      </c>
      <c r="P3">
        <v>0.96799999999999997</v>
      </c>
      <c r="Q3">
        <v>0.97099999999999997</v>
      </c>
      <c r="R3">
        <v>0.95699999999999996</v>
      </c>
      <c r="S3">
        <v>0.96599999999999997</v>
      </c>
      <c r="T3">
        <v>0.96399999999999997</v>
      </c>
      <c r="U3">
        <v>0.96599999999999997</v>
      </c>
    </row>
    <row r="4" spans="1:21" x14ac:dyDescent="0.25">
      <c r="A4" s="6"/>
      <c r="C4" t="s">
        <v>1</v>
      </c>
      <c r="D4">
        <f>_xlfn.STDEV.P(L3:U3)</f>
        <v>5.9025418253494883E-3</v>
      </c>
      <c r="I4" s="6"/>
      <c r="J4" s="5"/>
      <c r="K4" s="2" t="s">
        <v>12</v>
      </c>
      <c r="L4">
        <v>17.399999999999999</v>
      </c>
      <c r="M4">
        <v>17.399999999999999</v>
      </c>
      <c r="N4">
        <v>17.399999999999999</v>
      </c>
      <c r="O4">
        <v>17.399999999999999</v>
      </c>
      <c r="P4">
        <v>17.399999999999999</v>
      </c>
      <c r="Q4">
        <v>17.399999999999999</v>
      </c>
      <c r="R4">
        <v>17.399999999999999</v>
      </c>
      <c r="S4">
        <v>17.399999999999999</v>
      </c>
      <c r="T4">
        <v>17.399999999999999</v>
      </c>
      <c r="U4">
        <v>17.399999999999999</v>
      </c>
    </row>
    <row r="5" spans="1:21" x14ac:dyDescent="0.25">
      <c r="A5" s="6"/>
      <c r="B5" t="s">
        <v>4</v>
      </c>
      <c r="C5" t="s">
        <v>0</v>
      </c>
      <c r="D5" s="4">
        <f>AVERAGE(L5:U5)</f>
        <v>0.9739000000000001</v>
      </c>
      <c r="E5" t="s">
        <v>0</v>
      </c>
      <c r="F5">
        <f t="shared" ref="F5:F13" si="0">AVERAGE(L6:U6)</f>
        <v>25.080000000000002</v>
      </c>
      <c r="I5" s="6"/>
      <c r="J5" s="5" t="s">
        <v>4</v>
      </c>
      <c r="K5" s="2" t="s">
        <v>9</v>
      </c>
      <c r="L5">
        <v>0.98399999999999999</v>
      </c>
      <c r="M5">
        <v>0.94799999999999995</v>
      </c>
      <c r="N5">
        <v>0.98399999999999999</v>
      </c>
      <c r="O5">
        <v>0.97299999999999998</v>
      </c>
      <c r="P5">
        <v>0.97299999999999998</v>
      </c>
      <c r="Q5">
        <v>0.98</v>
      </c>
      <c r="R5">
        <v>0.98</v>
      </c>
      <c r="S5">
        <v>0.96</v>
      </c>
      <c r="T5">
        <v>0.98</v>
      </c>
      <c r="U5">
        <v>0.97699999999999998</v>
      </c>
    </row>
    <row r="6" spans="1:21" x14ac:dyDescent="0.25">
      <c r="A6" s="6"/>
      <c r="C6" t="s">
        <v>1</v>
      </c>
      <c r="D6">
        <f t="shared" ref="D6:D14" si="1">_xlfn.STDEV.P(L5:U5)</f>
        <v>1.0912836478203099E-2</v>
      </c>
      <c r="I6" s="6"/>
      <c r="J6" s="5"/>
      <c r="K6" s="2" t="s">
        <v>12</v>
      </c>
      <c r="L6">
        <v>23.1</v>
      </c>
      <c r="M6">
        <v>23.2</v>
      </c>
      <c r="N6">
        <v>22.1</v>
      </c>
      <c r="O6">
        <v>29.1</v>
      </c>
      <c r="P6">
        <v>27.5</v>
      </c>
      <c r="Q6">
        <v>24.9</v>
      </c>
      <c r="R6">
        <v>23.9</v>
      </c>
      <c r="S6">
        <v>28.1</v>
      </c>
      <c r="T6">
        <v>23.5</v>
      </c>
      <c r="U6">
        <v>25.4</v>
      </c>
    </row>
    <row r="7" spans="1:21" x14ac:dyDescent="0.25">
      <c r="A7" s="6"/>
      <c r="B7" t="s">
        <v>5</v>
      </c>
      <c r="C7" t="s">
        <v>0</v>
      </c>
      <c r="D7" s="3">
        <f>AVERAGE(L7:U7)</f>
        <v>0.9578000000000001</v>
      </c>
      <c r="E7" t="s">
        <v>0</v>
      </c>
      <c r="F7">
        <f t="shared" si="0"/>
        <v>13.680000000000001</v>
      </c>
      <c r="I7" s="6"/>
      <c r="J7" s="5" t="s">
        <v>5</v>
      </c>
      <c r="K7" s="2" t="s">
        <v>9</v>
      </c>
      <c r="L7">
        <v>0.97099999999999997</v>
      </c>
      <c r="M7">
        <v>0.94599999999999995</v>
      </c>
      <c r="N7">
        <v>0.95299999999999996</v>
      </c>
      <c r="O7">
        <v>0.93300000000000005</v>
      </c>
      <c r="P7">
        <v>0.95499999999999996</v>
      </c>
      <c r="Q7">
        <v>0.98</v>
      </c>
      <c r="R7">
        <v>0.94199999999999995</v>
      </c>
      <c r="S7">
        <v>0.96799999999999997</v>
      </c>
      <c r="T7">
        <v>0.96</v>
      </c>
      <c r="U7">
        <v>0.97</v>
      </c>
    </row>
    <row r="8" spans="1:21" x14ac:dyDescent="0.25">
      <c r="A8" s="6"/>
      <c r="C8" t="s">
        <v>1</v>
      </c>
      <c r="D8">
        <f t="shared" si="1"/>
        <v>1.3998571355677685E-2</v>
      </c>
      <c r="I8" s="6"/>
      <c r="J8" s="5"/>
      <c r="K8" s="2" t="s">
        <v>12</v>
      </c>
      <c r="L8">
        <v>13.1</v>
      </c>
      <c r="M8">
        <v>11.8</v>
      </c>
      <c r="N8">
        <v>11.5</v>
      </c>
      <c r="O8">
        <v>16.600000000000001</v>
      </c>
      <c r="P8">
        <v>11.2</v>
      </c>
      <c r="Q8">
        <v>14.5</v>
      </c>
      <c r="R8">
        <v>13.6</v>
      </c>
      <c r="S8">
        <v>15.7</v>
      </c>
      <c r="T8">
        <v>15</v>
      </c>
      <c r="U8">
        <v>13.8</v>
      </c>
    </row>
    <row r="9" spans="1:21" x14ac:dyDescent="0.25">
      <c r="A9" s="6" t="s">
        <v>6</v>
      </c>
      <c r="B9" t="s">
        <v>3</v>
      </c>
      <c r="C9" t="s">
        <v>0</v>
      </c>
      <c r="D9" s="3">
        <f>AVERAGE(L9:U9)</f>
        <v>0.8920300000000001</v>
      </c>
      <c r="E9" t="s">
        <v>0</v>
      </c>
      <c r="F9">
        <f t="shared" si="0"/>
        <v>11.649999999999999</v>
      </c>
      <c r="I9" s="6" t="s">
        <v>6</v>
      </c>
      <c r="J9" s="5" t="s">
        <v>3</v>
      </c>
      <c r="K9" s="2" t="s">
        <v>9</v>
      </c>
      <c r="L9">
        <v>0.879</v>
      </c>
      <c r="M9">
        <v>0.9</v>
      </c>
      <c r="N9">
        <v>0.91100000000000003</v>
      </c>
      <c r="O9">
        <v>0.90200000000000002</v>
      </c>
      <c r="P9">
        <v>0.89500000000000002</v>
      </c>
      <c r="Q9">
        <v>0.89329999999999998</v>
      </c>
      <c r="R9">
        <v>0.88600000000000001</v>
      </c>
      <c r="S9">
        <v>0.89500000000000002</v>
      </c>
      <c r="T9">
        <v>0.88800000000000001</v>
      </c>
      <c r="U9">
        <v>0.871</v>
      </c>
    </row>
    <row r="10" spans="1:21" x14ac:dyDescent="0.25">
      <c r="A10" s="6"/>
      <c r="C10" t="s">
        <v>1</v>
      </c>
      <c r="D10">
        <f t="shared" si="1"/>
        <v>1.0984903276770361E-2</v>
      </c>
      <c r="I10" s="6"/>
      <c r="J10" s="5"/>
      <c r="K10" s="2" t="s">
        <v>12</v>
      </c>
      <c r="L10">
        <v>11.4</v>
      </c>
      <c r="M10">
        <v>12.1</v>
      </c>
      <c r="N10">
        <v>11.9</v>
      </c>
      <c r="O10">
        <v>11.9</v>
      </c>
      <c r="P10">
        <v>11.9</v>
      </c>
      <c r="Q10">
        <v>11.9</v>
      </c>
      <c r="R10">
        <v>11.7</v>
      </c>
      <c r="S10">
        <v>11</v>
      </c>
      <c r="T10">
        <v>11.6</v>
      </c>
      <c r="U10">
        <v>11.1</v>
      </c>
    </row>
    <row r="11" spans="1:21" x14ac:dyDescent="0.25">
      <c r="A11" s="6"/>
      <c r="B11" t="s">
        <v>4</v>
      </c>
      <c r="C11" t="s">
        <v>0</v>
      </c>
      <c r="D11" s="3">
        <f>AVERAGE(L11:U11)</f>
        <v>0.91090000000000004</v>
      </c>
      <c r="E11" t="s">
        <v>0</v>
      </c>
      <c r="F11">
        <f t="shared" si="0"/>
        <v>29.55</v>
      </c>
      <c r="I11" s="6"/>
      <c r="J11" s="5" t="s">
        <v>4</v>
      </c>
      <c r="K11" s="2" t="s">
        <v>9</v>
      </c>
      <c r="L11">
        <v>0.91700000000000004</v>
      </c>
      <c r="M11">
        <v>0.93100000000000005</v>
      </c>
      <c r="N11">
        <v>0.86399999999999999</v>
      </c>
      <c r="O11">
        <v>0.92800000000000005</v>
      </c>
      <c r="P11">
        <v>0.91700000000000004</v>
      </c>
      <c r="Q11">
        <v>0.92600000000000005</v>
      </c>
      <c r="R11">
        <v>0.90400000000000003</v>
      </c>
      <c r="S11">
        <v>0.89900000000000002</v>
      </c>
      <c r="T11">
        <v>0.90600000000000003</v>
      </c>
      <c r="U11">
        <v>0.91700000000000004</v>
      </c>
    </row>
    <row r="12" spans="1:21" x14ac:dyDescent="0.25">
      <c r="A12" s="6"/>
      <c r="C12" t="s">
        <v>1</v>
      </c>
      <c r="D12">
        <f t="shared" si="1"/>
        <v>1.8571214284478024E-2</v>
      </c>
      <c r="I12" s="6"/>
      <c r="J12" s="5"/>
      <c r="K12" s="2" t="s">
        <v>12</v>
      </c>
      <c r="L12">
        <v>29.1</v>
      </c>
      <c r="M12">
        <v>29.7</v>
      </c>
      <c r="N12">
        <v>29.6</v>
      </c>
      <c r="O12">
        <v>29.8</v>
      </c>
      <c r="P12">
        <v>29.9</v>
      </c>
      <c r="Q12">
        <v>29.5</v>
      </c>
      <c r="R12">
        <v>29.5</v>
      </c>
      <c r="S12">
        <v>29.5</v>
      </c>
      <c r="T12">
        <v>29.4</v>
      </c>
      <c r="U12">
        <v>29.5</v>
      </c>
    </row>
    <row r="13" spans="1:21" x14ac:dyDescent="0.25">
      <c r="A13" s="6"/>
      <c r="B13" t="s">
        <v>5</v>
      </c>
      <c r="C13" t="s">
        <v>0</v>
      </c>
      <c r="D13" s="3">
        <f>AVERAGE(L13:U13)</f>
        <v>0.79624000000000017</v>
      </c>
      <c r="E13" t="s">
        <v>0</v>
      </c>
      <c r="F13">
        <f t="shared" si="0"/>
        <v>8.2000000000000011</v>
      </c>
      <c r="I13" s="6"/>
      <c r="J13" s="5" t="s">
        <v>5</v>
      </c>
      <c r="K13" s="2" t="s">
        <v>9</v>
      </c>
      <c r="L13">
        <v>0.79900000000000004</v>
      </c>
      <c r="M13">
        <v>0.8</v>
      </c>
      <c r="N13">
        <v>0.79700000000000004</v>
      </c>
      <c r="O13">
        <v>0.79300000000000004</v>
      </c>
      <c r="P13">
        <v>0.81100000000000005</v>
      </c>
      <c r="Q13">
        <v>0.79300000000000004</v>
      </c>
      <c r="R13">
        <v>0.80600000000000005</v>
      </c>
      <c r="S13">
        <v>0.78600000000000003</v>
      </c>
      <c r="T13">
        <v>0.79300000000000004</v>
      </c>
      <c r="U13">
        <v>0.78439999999999999</v>
      </c>
    </row>
    <row r="14" spans="1:21" x14ac:dyDescent="0.25">
      <c r="A14" s="6"/>
      <c r="C14" t="s">
        <v>1</v>
      </c>
      <c r="D14">
        <f t="shared" si="1"/>
        <v>7.8229406235762917E-3</v>
      </c>
      <c r="I14" s="6"/>
      <c r="J14" s="5"/>
      <c r="K14" s="2" t="s">
        <v>12</v>
      </c>
      <c r="L14">
        <v>8.1999999999999993</v>
      </c>
      <c r="M14">
        <v>8.1999999999999993</v>
      </c>
      <c r="N14">
        <v>8.1999999999999993</v>
      </c>
      <c r="O14">
        <v>8.1999999999999993</v>
      </c>
      <c r="P14">
        <v>8.1999999999999993</v>
      </c>
      <c r="Q14">
        <v>8.1999999999999993</v>
      </c>
      <c r="R14">
        <v>8.1999999999999993</v>
      </c>
      <c r="S14">
        <v>8.1999999999999993</v>
      </c>
      <c r="T14">
        <v>8.1999999999999993</v>
      </c>
      <c r="U14">
        <v>8.1999999999999993</v>
      </c>
    </row>
    <row r="16" spans="1:21" x14ac:dyDescent="0.25">
      <c r="L16">
        <f>AVERAGE(L3,L5,L7,L9,L11,L13)</f>
        <v>0.91783333333333339</v>
      </c>
      <c r="M16">
        <f t="shared" ref="M16:U16" si="2">AVERAGE(M3,M5,M7,M9,M11,M13)</f>
        <v>0.91366666666666674</v>
      </c>
      <c r="N16">
        <f t="shared" si="2"/>
        <v>0.91099999999999992</v>
      </c>
      <c r="O16">
        <f t="shared" si="2"/>
        <v>0.91700000000000015</v>
      </c>
      <c r="P16">
        <f t="shared" si="2"/>
        <v>0.91983333333333339</v>
      </c>
      <c r="Q16" s="1">
        <f t="shared" si="2"/>
        <v>0.92388333333333339</v>
      </c>
      <c r="R16">
        <f t="shared" si="2"/>
        <v>0.91249999999999998</v>
      </c>
      <c r="S16">
        <f t="shared" si="2"/>
        <v>0.91233333333333333</v>
      </c>
      <c r="T16">
        <f t="shared" si="2"/>
        <v>0.91516666666666657</v>
      </c>
      <c r="U16">
        <f t="shared" si="2"/>
        <v>0.91423333333333334</v>
      </c>
    </row>
    <row r="17" spans="1:3" x14ac:dyDescent="0.25">
      <c r="A17" t="s">
        <v>11</v>
      </c>
    </row>
    <row r="18" spans="1:3" x14ac:dyDescent="0.25">
      <c r="A18" s="6" t="s">
        <v>2</v>
      </c>
      <c r="B18" t="s">
        <v>3</v>
      </c>
      <c r="C18">
        <v>0.871</v>
      </c>
    </row>
    <row r="19" spans="1:3" x14ac:dyDescent="0.25">
      <c r="A19" s="6"/>
    </row>
    <row r="20" spans="1:3" x14ac:dyDescent="0.25">
      <c r="A20" s="6"/>
      <c r="B20" t="s">
        <v>4</v>
      </c>
      <c r="C20">
        <v>0.95699999999999996</v>
      </c>
    </row>
    <row r="21" spans="1:3" x14ac:dyDescent="0.25">
      <c r="A21" s="6"/>
    </row>
    <row r="22" spans="1:3" x14ac:dyDescent="0.25">
      <c r="A22" s="6"/>
      <c r="B22" t="s">
        <v>5</v>
      </c>
      <c r="C22">
        <v>0.98499999999999999</v>
      </c>
    </row>
    <row r="23" spans="1:3" x14ac:dyDescent="0.25">
      <c r="A23" s="6"/>
    </row>
    <row r="24" spans="1:3" x14ac:dyDescent="0.25">
      <c r="A24" s="6" t="s">
        <v>6</v>
      </c>
      <c r="B24" t="s">
        <v>3</v>
      </c>
      <c r="C24">
        <v>0.39</v>
      </c>
    </row>
    <row r="25" spans="1:3" x14ac:dyDescent="0.25">
      <c r="A25" s="6"/>
    </row>
    <row r="26" spans="1:3" x14ac:dyDescent="0.25">
      <c r="A26" s="6"/>
      <c r="B26" t="s">
        <v>4</v>
      </c>
      <c r="C26">
        <v>0.51</v>
      </c>
    </row>
    <row r="27" spans="1:3" x14ac:dyDescent="0.25">
      <c r="A27" s="6"/>
    </row>
    <row r="28" spans="1:3" x14ac:dyDescent="0.25">
      <c r="A28" s="6"/>
      <c r="B28" t="s">
        <v>5</v>
      </c>
      <c r="C28">
        <v>0.56000000000000005</v>
      </c>
    </row>
    <row r="29" spans="1:3" x14ac:dyDescent="0.25">
      <c r="A29" s="6"/>
    </row>
  </sheetData>
  <mergeCells count="14">
    <mergeCell ref="C2:D2"/>
    <mergeCell ref="E2:F2"/>
    <mergeCell ref="A18:A23"/>
    <mergeCell ref="A24:A29"/>
    <mergeCell ref="A3:A8"/>
    <mergeCell ref="A9:A14"/>
    <mergeCell ref="I3:I8"/>
    <mergeCell ref="I9:I14"/>
    <mergeCell ref="J13:J14"/>
    <mergeCell ref="J3:J4"/>
    <mergeCell ref="J5:J6"/>
    <mergeCell ref="J7:J8"/>
    <mergeCell ref="J9:J10"/>
    <mergeCell ref="J11:J12"/>
  </mergeCells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a7295cc1-d279-42ac-ab4d-3b0f4fece050}" enabled="1" method="Standard" siteId="{a19f121d-81e1-4858-a9d8-736e267fd4c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 Zweig</dc:creator>
  <cp:lastModifiedBy>Hofman, Omer</cp:lastModifiedBy>
  <dcterms:created xsi:type="dcterms:W3CDTF">2024-06-29T05:51:17Z</dcterms:created>
  <dcterms:modified xsi:type="dcterms:W3CDTF">2026-02-19T22:19:21Z</dcterms:modified>
</cp:coreProperties>
</file>